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<sst xmlns="http://schemas.openxmlformats.org/spreadsheetml/2006/main" count="47" uniqueCount="26">
  <si>
    <t xml:space="preserve">tipo</t>
  </si>
  <si>
    <t xml:space="preserve">tempo</t>
  </si>
  <si>
    <t xml:space="preserve">Tempo^2</t>
  </si>
  <si>
    <t xml:space="preserve">total</t>
  </si>
  <si>
    <t xml:space="preserve">Total^2</t>
  </si>
  <si>
    <t xml:space="preserve">media</t>
  </si>
  <si>
    <t xml:space="preserve">alcalina1</t>
  </si>
  <si>
    <t xml:space="preserve">SQ1</t>
  </si>
  <si>
    <t xml:space="preserve">alcalina2</t>
  </si>
  <si>
    <t xml:space="preserve">SQ2</t>
  </si>
  <si>
    <t xml:space="preserve">normal1</t>
  </si>
  <si>
    <t xml:space="preserve">SQ3</t>
  </si>
  <si>
    <t xml:space="preserve">normal2</t>
  </si>
  <si>
    <t xml:space="preserve">TC</t>
  </si>
  <si>
    <t xml:space="preserve">Fonte</t>
  </si>
  <si>
    <t xml:space="preserve">SQ</t>
  </si>
  <si>
    <t xml:space="preserve">GL</t>
  </si>
  <si>
    <t xml:space="preserve">QM</t>
  </si>
  <si>
    <t xml:space="preserve">F</t>
  </si>
  <si>
    <t xml:space="preserve">P-valor</t>
  </si>
  <si>
    <t xml:space="preserve">Tratamentos</t>
  </si>
  <si>
    <t xml:space="preserve">     Contr. 1</t>
  </si>
  <si>
    <t xml:space="preserve">     Contr. 2</t>
  </si>
  <si>
    <t xml:space="preserve">     Contr. 3</t>
  </si>
  <si>
    <t xml:space="preserve">Resíduos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</si>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</sst>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J12" activeCellId="0" sqref="J12:J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0</v>
      </c>
      <c r="F1" s="0" t="s">
        <v>3</v>
      </c>
      <c r="G1" s="0" t="s">
        <v>4</v>
      </c>
      <c r="H1" s="0" t="s">
        <v>5</v>
      </c>
    </row>
    <row r="2" customFormat="false" ht="12.8" hidden="false" customHeight="false" outlineLevel="0" collapsed="false">
      <c r="A2" s="0" t="s">
        <v>6</v>
      </c>
      <c r="B2" s="0" t="n">
        <v>100</v>
      </c>
      <c r="C2" s="0" t="n">
        <f aca="false">B2^2</f>
        <v>10000</v>
      </c>
      <c r="E2" s="0" t="s">
        <v>6</v>
      </c>
      <c r="F2" s="0" t="n">
        <f aca="false">SUMIF(A:A,E2,B:B)</f>
        <v>475</v>
      </c>
      <c r="G2" s="0" t="n">
        <f aca="false">F2^2</f>
        <v>225625</v>
      </c>
      <c r="H2" s="0" t="n">
        <f aca="false">F2/5</f>
        <v>95</v>
      </c>
      <c r="J2" s="0" t="s">
        <v>7</v>
      </c>
      <c r="K2" s="0" t="n">
        <f aca="false">5*(H2/2+H3/2-H4/2-H5/2)^2/(0.5^2+0.5^2+(-0.5)^2+(-0.5)^2)</f>
        <v>2121.8</v>
      </c>
    </row>
    <row r="3" customFormat="false" ht="12.8" hidden="false" customHeight="false" outlineLevel="0" collapsed="false">
      <c r="A3" s="0" t="s">
        <v>6</v>
      </c>
      <c r="B3" s="0" t="n">
        <v>96</v>
      </c>
      <c r="C3" s="0" t="n">
        <f aca="false">B3^2</f>
        <v>9216</v>
      </c>
      <c r="E3" s="0" t="s">
        <v>8</v>
      </c>
      <c r="F3" s="0" t="n">
        <f aca="false">SUMIF(A:A,E3,B:B)</f>
        <v>507</v>
      </c>
      <c r="G3" s="0" t="n">
        <f aca="false">F3^2</f>
        <v>257049</v>
      </c>
      <c r="H3" s="0" t="n">
        <f aca="false">F3/5</f>
        <v>101.4</v>
      </c>
      <c r="J3" s="0" t="s">
        <v>9</v>
      </c>
    </row>
    <row r="4" customFormat="false" ht="12.8" hidden="false" customHeight="false" outlineLevel="0" collapsed="false">
      <c r="A4" s="0" t="s">
        <v>6</v>
      </c>
      <c r="B4" s="0" t="n">
        <v>92</v>
      </c>
      <c r="C4" s="0" t="n">
        <f aca="false">B4^2</f>
        <v>8464</v>
      </c>
      <c r="E4" s="0" t="s">
        <v>10</v>
      </c>
      <c r="F4" s="0" t="n">
        <f aca="false">SUMIF(A:A,E4,B:B)</f>
        <v>397</v>
      </c>
      <c r="G4" s="0" t="n">
        <f aca="false">F4^2</f>
        <v>157609</v>
      </c>
      <c r="H4" s="0" t="n">
        <f aca="false">F4/5</f>
        <v>79.4</v>
      </c>
      <c r="J4" s="0" t="s">
        <v>11</v>
      </c>
    </row>
    <row r="5" customFormat="false" ht="12.8" hidden="false" customHeight="false" outlineLevel="0" collapsed="false">
      <c r="A5" s="0" t="s">
        <v>6</v>
      </c>
      <c r="B5" s="0" t="n">
        <v>96</v>
      </c>
      <c r="C5" s="0" t="n">
        <f aca="false">B5^2</f>
        <v>9216</v>
      </c>
      <c r="E5" s="0" t="s">
        <v>12</v>
      </c>
      <c r="F5" s="0" t="n">
        <f aca="false">SUMIF(A:A,E5,B:B)</f>
        <v>379</v>
      </c>
      <c r="G5" s="0" t="n">
        <f aca="false">F5^2</f>
        <v>143641</v>
      </c>
      <c r="H5" s="0" t="n">
        <f aca="false">F5/5</f>
        <v>75.8</v>
      </c>
    </row>
    <row r="6" customFormat="false" ht="12.8" hidden="false" customHeight="false" outlineLevel="0" collapsed="false">
      <c r="A6" s="0" t="s">
        <v>6</v>
      </c>
      <c r="B6" s="0" t="n">
        <v>91</v>
      </c>
      <c r="C6" s="0" t="n">
        <f aca="false">B6^2</f>
        <v>8281</v>
      </c>
    </row>
    <row r="7" customFormat="false" ht="12.8" hidden="false" customHeight="false" outlineLevel="0" collapsed="false">
      <c r="A7" s="0" t="s">
        <v>8</v>
      </c>
      <c r="B7" s="0" t="n">
        <v>108</v>
      </c>
      <c r="C7" s="0" t="n">
        <f aca="false">B7^2</f>
        <v>11664</v>
      </c>
      <c r="E7" s="0" t="s">
        <v>13</v>
      </c>
      <c r="F7" s="0" t="n">
        <f aca="false">SUM(B2:B21)^2/20</f>
        <v>154528.2</v>
      </c>
    </row>
    <row r="8" customFormat="false" ht="12.8" hidden="false" customHeight="false" outlineLevel="0" collapsed="false">
      <c r="A8" s="0" t="s">
        <v>8</v>
      </c>
      <c r="B8" s="0" t="n">
        <v>102</v>
      </c>
      <c r="C8" s="0" t="n">
        <f aca="false">B8^2</f>
        <v>10404</v>
      </c>
    </row>
    <row r="9" customFormat="false" ht="12.8" hidden="false" customHeight="false" outlineLevel="0" collapsed="false">
      <c r="A9" s="0" t="s">
        <v>8</v>
      </c>
      <c r="B9" s="0" t="n">
        <v>97</v>
      </c>
      <c r="C9" s="0" t="n">
        <f aca="false">B9^2</f>
        <v>9409</v>
      </c>
    </row>
    <row r="10" customFormat="false" ht="12.8" hidden="false" customHeight="false" outlineLevel="0" collapsed="false">
      <c r="A10" s="0" t="s">
        <v>8</v>
      </c>
      <c r="B10" s="0" t="n">
        <v>99</v>
      </c>
      <c r="C10" s="0" t="n">
        <f aca="false">B10^2</f>
        <v>9801</v>
      </c>
      <c r="E10" s="0" t="s">
        <v>14</v>
      </c>
      <c r="F10" s="0" t="s">
        <v>15</v>
      </c>
      <c r="G10" s="0" t="s">
        <v>16</v>
      </c>
      <c r="H10" s="0" t="s">
        <v>17</v>
      </c>
      <c r="I10" s="0" t="s">
        <v>18</v>
      </c>
      <c r="J10" s="0" t="s">
        <v>19</v>
      </c>
    </row>
    <row r="11" customFormat="false" ht="12.8" hidden="false" customHeight="false" outlineLevel="0" collapsed="false">
      <c r="A11" s="0" t="s">
        <v>8</v>
      </c>
      <c r="B11" s="0" t="n">
        <v>101</v>
      </c>
      <c r="C11" s="0" t="n">
        <f aca="false">B11^2</f>
        <v>10201</v>
      </c>
      <c r="E11" s="0" t="s">
        <v>20</v>
      </c>
      <c r="F11" s="0" t="n">
        <f aca="false">SUM(G2:G5)/5-F7</f>
        <v>2256.59999999998</v>
      </c>
      <c r="G11" s="0" t="n">
        <v>3</v>
      </c>
      <c r="H11" s="0" t="n">
        <f aca="false">F11/G11</f>
        <v>752.199999999992</v>
      </c>
      <c r="I11" s="0" t="n">
        <f aca="false">H11/H15</f>
        <v>50.3143812709</v>
      </c>
      <c r="J11" s="0" t="n">
        <f aca="false">_xlfn.F.DIST.RT(I11,G11,G15)</f>
        <v>2.27309626805842E-008</v>
      </c>
    </row>
    <row r="12" customFormat="false" ht="12.8" hidden="false" customHeight="false" outlineLevel="0" collapsed="false">
      <c r="A12" s="0" t="s">
        <v>10</v>
      </c>
      <c r="B12" s="0" t="n">
        <v>76</v>
      </c>
      <c r="C12" s="0" t="n">
        <f aca="false">B12^2</f>
        <v>5776</v>
      </c>
      <c r="E12" s="0" t="s">
        <v>21</v>
      </c>
      <c r="F12" s="0" t="n">
        <f aca="false">(F2+F3)^2/10+(F4+F5)^2/10-F7</f>
        <v>2121.79999999999</v>
      </c>
      <c r="G12" s="0" t="n">
        <v>1</v>
      </c>
      <c r="H12" s="0" t="n">
        <f aca="false">F12</f>
        <v>2121.79999999999</v>
      </c>
      <c r="I12" s="0" t="n">
        <f aca="false">H12/H15</f>
        <v>141.926421404675</v>
      </c>
      <c r="J12" s="0" t="n">
        <f aca="false">_xlfn.F.DIST.RT(I12,G12,G15)</f>
        <v>2.28524347110838E-009</v>
      </c>
    </row>
    <row r="13" customFormat="false" ht="12.8" hidden="false" customHeight="false" outlineLevel="0" collapsed="false">
      <c r="A13" s="0" t="s">
        <v>10</v>
      </c>
      <c r="B13" s="0" t="n">
        <v>80</v>
      </c>
      <c r="C13" s="0" t="n">
        <f aca="false">B13^2</f>
        <v>6400</v>
      </c>
      <c r="E13" s="0" t="s">
        <v>22</v>
      </c>
      <c r="F13" s="0" t="n">
        <f aca="false">G2/5+G3/5-(F2+F3)^2/10</f>
        <v>102.400000000009</v>
      </c>
      <c r="G13" s="0" t="n">
        <v>1</v>
      </c>
      <c r="H13" s="0" t="n">
        <f aca="false">F13</f>
        <v>102.400000000009</v>
      </c>
      <c r="I13" s="0" t="n">
        <f aca="false">H13/H15</f>
        <v>6.84949832775945</v>
      </c>
      <c r="J13" s="0" t="n">
        <f aca="false">_xlfn.F.DIST.RT(I13,G13,G15)</f>
        <v>0.0186780201496339</v>
      </c>
    </row>
    <row r="14" customFormat="false" ht="12.8" hidden="false" customHeight="false" outlineLevel="0" collapsed="false">
      <c r="A14" s="0" t="s">
        <v>10</v>
      </c>
      <c r="B14" s="0" t="n">
        <v>75</v>
      </c>
      <c r="C14" s="0" t="n">
        <f aca="false">B14^2</f>
        <v>5625</v>
      </c>
      <c r="E14" s="0" t="s">
        <v>23</v>
      </c>
      <c r="F14" s="0" t="n">
        <f aca="false">G4/5+G5/5-(F4+F5)^2/10</f>
        <v>32.4000000000015</v>
      </c>
      <c r="G14" s="0" t="n">
        <v>1</v>
      </c>
      <c r="H14" s="0" t="n">
        <f aca="false">F14</f>
        <v>32.4000000000015</v>
      </c>
      <c r="I14" s="0" t="n">
        <f aca="false">H14/H15</f>
        <v>2.16722408026755</v>
      </c>
      <c r="J14" s="0" t="n">
        <f aca="false">_xlfn.F.DIST.RT(I14,G14,G15)</f>
        <v>0.160377442664098</v>
      </c>
    </row>
    <row r="15" customFormat="false" ht="12.8" hidden="false" customHeight="false" outlineLevel="0" collapsed="false">
      <c r="A15" s="0" t="s">
        <v>10</v>
      </c>
      <c r="B15" s="0" t="n">
        <v>84</v>
      </c>
      <c r="C15" s="0" t="n">
        <f aca="false">B15^2</f>
        <v>7056</v>
      </c>
      <c r="E15" s="0" t="s">
        <v>24</v>
      </c>
      <c r="F15" s="0" t="n">
        <f aca="false">F16-F11</f>
        <v>239.200000000012</v>
      </c>
      <c r="G15" s="0" t="n">
        <v>16</v>
      </c>
      <c r="H15" s="0" t="n">
        <f aca="false">F15/G15</f>
        <v>14.9500000000007</v>
      </c>
    </row>
    <row r="16" customFormat="false" ht="12.8" hidden="false" customHeight="false" outlineLevel="0" collapsed="false">
      <c r="A16" s="0" t="s">
        <v>10</v>
      </c>
      <c r="B16" s="0" t="n">
        <v>82</v>
      </c>
      <c r="C16" s="0" t="n">
        <f aca="false">B16^2</f>
        <v>6724</v>
      </c>
      <c r="E16" s="0" t="s">
        <v>25</v>
      </c>
      <c r="F16" s="0" t="n">
        <f aca="false">SUM(C2:C21)-F7</f>
        <v>2495.79999999999</v>
      </c>
      <c r="G16" s="0" t="n">
        <v>19</v>
      </c>
    </row>
    <row r="17" customFormat="false" ht="12.8" hidden="false" customHeight="false" outlineLevel="0" collapsed="false">
      <c r="A17" s="0" t="s">
        <v>12</v>
      </c>
      <c r="B17" s="0" t="n">
        <v>76</v>
      </c>
      <c r="C17" s="0" t="n">
        <f aca="false">B17^2</f>
        <v>5776</v>
      </c>
    </row>
    <row r="18" customFormat="false" ht="12.8" hidden="false" customHeight="false" outlineLevel="0" collapsed="false">
      <c r="A18" s="0" t="s">
        <v>12</v>
      </c>
      <c r="B18" s="0" t="n">
        <v>79</v>
      </c>
      <c r="C18" s="0" t="n">
        <f aca="false">B18^2</f>
        <v>6241</v>
      </c>
    </row>
    <row r="19" customFormat="false" ht="12.8" hidden="false" customHeight="false" outlineLevel="0" collapsed="false">
      <c r="A19" s="0" t="s">
        <v>12</v>
      </c>
      <c r="B19" s="0" t="n">
        <v>71</v>
      </c>
      <c r="C19" s="0" t="n">
        <f aca="false">B19^2</f>
        <v>5041</v>
      </c>
    </row>
    <row r="20" customFormat="false" ht="12.8" hidden="false" customHeight="false" outlineLevel="0" collapsed="false">
      <c r="A20" s="0" t="s">
        <v>12</v>
      </c>
      <c r="B20" s="0" t="n">
        <v>80</v>
      </c>
      <c r="C20" s="0" t="n">
        <f aca="false">B20^2</f>
        <v>6400</v>
      </c>
    </row>
    <row r="21" customFormat="false" ht="12.8" hidden="false" customHeight="false" outlineLevel="0" collapsed="false">
      <c r="A21" s="0" t="s">
        <v>12</v>
      </c>
      <c r="B21" s="0" t="n">
        <v>73</v>
      </c>
      <c r="C21" s="0" t="n">
        <f aca="false">B21^2</f>
        <v>5329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2026-04-10T18:37:32Z</dcterms:created>
  <dc:creator/>
  <dc:description/>
  <dc:language>pt-BR</dc:language>
  <cp:lastModifiedBy/>
  <dcterms:modified xsi:type="dcterms:W3CDTF">2026-04-10T20:05:49Z</dcterms:modified>
  <cp:revision>1</cp:revision>
  <dc:subject/>
  <dc:title/>
</cp:coreProperties>
</file>